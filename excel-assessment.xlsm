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TusharPatil\Downloads\"/>
    </mc:Choice>
  </mc:AlternateContent>
  <xr:revisionPtr revIDLastSave="0" documentId="13_ncr:1_{274D33F1-D993-458A-8653-40977BEA919C}" xr6:coauthVersionLast="47" xr6:coauthVersionMax="47" xr10:uidLastSave="{00000000-0000-0000-0000-000000000000}"/>
  <bookViews>
    <workbookView xWindow="-110" yWindow="-110" windowWidth="19420" windowHeight="1042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_xlnm._FilterDatabase" localSheetId="6" hidden="1">Task_5!$A$9:$N$18</definedName>
    <definedName name="_xlnm.Criteria" localSheetId="6">Task_5!$A$22:$B$37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81029"/>
</workbook>
</file>

<file path=xl/calcChain.xml><?xml version="1.0" encoding="utf-8"?>
<calcChain xmlns="http://schemas.openxmlformats.org/spreadsheetml/2006/main">
  <c r="C24" i="20" l="1"/>
  <c r="C23" i="20"/>
  <c r="F30" i="18"/>
  <c r="F29" i="18"/>
  <c r="F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30" i="18"/>
  <c r="E29" i="18"/>
  <c r="E28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C22" i="19"/>
  <c r="D30" i="18"/>
  <c r="C30" i="18"/>
  <c r="D28" i="18"/>
  <c r="C28" i="18"/>
  <c r="D29" i="18"/>
  <c r="C29" i="18"/>
  <c r="B28" i="18"/>
  <c r="B29" i="18"/>
  <c r="B30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2" i="1"/>
</calcChain>
</file>

<file path=xl/sharedStrings.xml><?xml version="1.0" encoding="utf-8"?>
<sst xmlns="http://schemas.openxmlformats.org/spreadsheetml/2006/main" count="403" uniqueCount="180">
  <si>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</si>
  <si>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</si>
  <si>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</si>
  <si>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</si>
  <si>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</si>
  <si>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</si>
  <si>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</si>
  <si>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</si>
  <si>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</si>
  <si>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</si>
  <si>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</si>
  <si>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</si>
  <si>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</si>
  <si>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</si>
  <si>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</si>
  <si>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</si>
  <si>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</si>
  <si>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</si>
  <si>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</si>
  <si>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</si>
  <si>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</si>
  <si>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</si>
  <si>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</si>
  <si>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</si>
  <si>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</si>
  <si>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</si>
  <si>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</si>
  <si>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</si>
  <si>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</si>
  <si>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</si>
  <si>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</si>
  <si>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</si>
  <si>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</si>
  <si>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</si>
  <si>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</si>
  <si>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</si>
  <si>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</si>
  <si>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</si>
  <si>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</si>
  <si>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</si>
  <si>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</si>
  <si>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</si>
  <si>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</si>
  <si>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</si>
  <si>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</si>
  <si>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</si>
  <si>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</si>
  <si>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</si>
  <si>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</si>
  <si>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</si>
  <si>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</si>
  <si>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</si>
  <si>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</si>
  <si>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</si>
  <si>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</si>
  <si>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</si>
  <si>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</si>
  <si>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</si>
  <si>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</si>
  <si>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</si>
  <si>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</si>
  <si>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</si>
  <si>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</si>
  <si>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</si>
  <si>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</si>
  <si>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</si>
  <si>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</si>
  <si>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</si>
  <si>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</si>
  <si>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</si>
  <si>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</si>
  <si>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</si>
  <si>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</si>
  <si>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</si>
  <si>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</si>
  <si>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</si>
  <si>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</si>
  <si>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</si>
  <si>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</si>
  <si>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</si>
  <si>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</si>
  <si>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</si>
  <si>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</si>
  <si>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</si>
  <si>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</si>
  <si>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</si>
  <si>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</si>
  <si>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</si>
  <si>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</si>
  <si>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</si>
  <si>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</si>
  <si>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</si>
  <si>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</si>
  <si>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</si>
  <si>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</si>
  <si>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</si>
  <si>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</si>
  <si>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</si>
  <si>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</si>
  <si>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</si>
  <si>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</si>
  <si>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</si>
  <si>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</si>
  <si>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</si>
  <si>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</si>
  <si>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</si>
  <si>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</si>
  <si>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</si>
  <si>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</si>
  <si>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</si>
  <si>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</si>
  <si>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</si>
  <si>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</si>
  <si>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</si>
  <si>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</si>
  <si>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</si>
  <si>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</si>
  <si>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</si>
  <si>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</si>
  <si>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</si>
  <si>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</si>
  <si>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</si>
  <si>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</si>
  <si>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</si>
  <si>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</si>
  <si>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</si>
  <si>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</si>
  <si>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</si>
  <si>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</si>
  <si>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</si>
  <si>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</si>
  <si>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</si>
  <si>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</si>
  <si>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</si>
  <si>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</si>
  <si>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</si>
  <si>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</si>
  <si>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</si>
  <si>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</si>
  <si>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</si>
  <si>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</si>
  <si>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</si>
  <si>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</si>
  <si>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</si>
  <si>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</si>
  <si>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</si>
  <si>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</si>
  <si>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</si>
  <si>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</si>
  <si>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</si>
  <si>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</si>
  <si>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</si>
  <si>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</si>
  <si>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</si>
  <si>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</si>
  <si>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</si>
  <si>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</si>
  <si>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</si>
  <si>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</si>
  <si>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</si>
  <si>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</si>
  <si>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</si>
  <si>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</si>
  <si>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</si>
  <si>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</si>
  <si>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</si>
  <si>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</si>
  <si>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</si>
  <si>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</si>
  <si>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</si>
  <si>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</si>
  <si>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</si>
  <si>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</si>
  <si>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</si>
  <si>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</si>
  <si>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</si>
  <si>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</si>
  <si>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</si>
  <si>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Text to Columns</t>
  </si>
  <si>
    <t xml:space="preserve">Using text to column built in function with delimeter as a "-", I splitted data into different columns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</si>
</sst>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8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8" fontId="7" fillId="0" borderId="0" xfId="0" applyNumberFormat="1" applyFont="1"/>
    <xf numFmtId="168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6"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5"/>
      <tableStyleElement type="headerRow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B14" sqref="B14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5" x14ac:dyDescent="0.35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5" t="s">
        <v>172</v>
      </c>
      <c r="B9" s="26" t="s">
        <v>170</v>
      </c>
    </row>
    <row r="10" spans="1:3" x14ac:dyDescent="0.3">
      <c r="A10" s="34" t="s">
        <v>173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171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topLeftCell="O1" zoomScaleNormal="100" workbookViewId="0">
      <pane ySplit="1" topLeftCell="A2" activePane="bottomLeft" state="frozen"/>
      <selection pane="bottomLeft" activeCell="X9" sqref="X9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6" bestFit="1" customWidth="1"/>
    <col min="25" max="16384" width="9" style="1"/>
  </cols>
  <sheetData>
    <row r="1" spans="1:24" s="3" customFormat="1" ht="14.75" customHeight="1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106</v>
      </c>
    </row>
    <row r="2" spans="1:24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2" spans="1:24" x14ac:dyDescent="0.35">
      <c r="H42" s="1">
        <f>SUMIFS(H2:H40,H2:H40,"&gt;20")</f>
        <v>1473.0000000000002</v>
      </c>
    </row>
  </sheetData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Q10">
    <cfRule type="cellIs" dxfId="2" priority="3" operator="equal">
      <formula>-1</formula>
    </cfRule>
  </conditionalFormatting>
  <conditionalFormatting sqref="G2:W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/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35">
      <c r="A2" s="2"/>
      <c r="B2" s="5" t="s">
        <v>161</v>
      </c>
      <c r="C2" s="2"/>
    </row>
    <row r="3" spans="1:5" x14ac:dyDescent="0.35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3" t="s">
        <v>105</v>
      </c>
      <c r="E5" s="1">
        <v>10</v>
      </c>
    </row>
    <row r="6" spans="1:5" x14ac:dyDescent="0.35">
      <c r="A6" s="6">
        <v>4</v>
      </c>
      <c r="B6" s="2" t="s">
        <v>107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H10" sqref="H10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5">
      <c r="A1" s="41" t="s">
        <v>55</v>
      </c>
      <c r="B1" s="40" t="s">
        <v>165</v>
      </c>
    </row>
    <row r="2" spans="1:7" s="40" customFormat="1" ht="21" x14ac:dyDescent="0.5">
      <c r="B2" s="40" t="s">
        <v>162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163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 t="s">
        <v>40</v>
      </c>
      <c r="B6" s="12">
        <f>VLOOKUP(Task_2!A6,Dataset!A1:G40,7,0)</f>
        <v>2.7</v>
      </c>
      <c r="C6" s="12">
        <f>VLOOKUP(A6,Dataset!A2:X42,14,0)</f>
        <v>7.6</v>
      </c>
      <c r="D6" s="12">
        <f>VLOOKUP(A6,Dataset!A2:X40,18,0)</f>
        <v>4.2</v>
      </c>
      <c r="E6" s="12">
        <f>VLOOKUP(A6,Dataset!A1:X42,20,0)</f>
        <v>8.9</v>
      </c>
      <c r="F6" s="8">
        <f>VLOOKUP(A6,Dataset!A1:X40,22,0)</f>
        <v>4.2</v>
      </c>
    </row>
    <row r="7" spans="1:7" ht="14.5" x14ac:dyDescent="0.35">
      <c r="A7" s="7" t="s">
        <v>4</v>
      </c>
      <c r="B7" s="12">
        <f>VLOOKUP(Task_2!A7,Dataset!A2:G41,7,0)</f>
        <v>2.7</v>
      </c>
      <c r="C7" s="12">
        <f>VLOOKUP(A7,Dataset!A3:X43,14,0)</f>
        <v>7.6</v>
      </c>
      <c r="D7" s="12">
        <f>VLOOKUP(A7,Dataset!A3:X41,18,0)</f>
        <v>4.2</v>
      </c>
      <c r="E7" s="12">
        <f>VLOOKUP(A7,Dataset!A2:X43,20,0)</f>
        <v>8.9</v>
      </c>
      <c r="F7" s="8">
        <f>VLOOKUP(A7,Dataset!A2:X41,22,0)</f>
        <v>4.2</v>
      </c>
    </row>
    <row r="8" spans="1:7" ht="14.5" x14ac:dyDescent="0.35">
      <c r="A8" s="7" t="s">
        <v>7</v>
      </c>
      <c r="B8" s="12">
        <f>VLOOKUP(Task_2!A8,Dataset!A3:G42,7,0)</f>
        <v>3.6</v>
      </c>
      <c r="C8" s="12">
        <f>VLOOKUP(A8,Dataset!A4:X44,14,0)</f>
        <v>11.1</v>
      </c>
      <c r="D8" s="12">
        <f>VLOOKUP(A8,Dataset!A4:X42,18,0)</f>
        <v>5.8</v>
      </c>
      <c r="E8" s="12">
        <f>VLOOKUP(A8,Dataset!A3:X44,20,0)</f>
        <v>12.2</v>
      </c>
      <c r="F8" s="8">
        <f>VLOOKUP(A8,Dataset!A3:X42,22,0)</f>
        <v>5.8</v>
      </c>
    </row>
    <row r="9" spans="1:7" ht="14.5" x14ac:dyDescent="0.35">
      <c r="A9" s="7" t="s">
        <v>8</v>
      </c>
      <c r="B9" s="12">
        <f>VLOOKUP(Task_2!A9,Dataset!A4:G43,7,0)</f>
        <v>4.9000000000000004</v>
      </c>
      <c r="C9" s="12">
        <f>VLOOKUP(A9,Dataset!A5:X45,14,0)</f>
        <v>13.3</v>
      </c>
      <c r="D9" s="12">
        <f>VLOOKUP(A9,Dataset!A5:X43,18,0)</f>
        <v>8.1</v>
      </c>
      <c r="E9" s="12">
        <f>VLOOKUP(A9,Dataset!A4:X45,20,0)</f>
        <v>17</v>
      </c>
      <c r="F9" s="8">
        <f>VLOOKUP(A9,Dataset!A4:X43,22,0)</f>
        <v>8.1</v>
      </c>
    </row>
    <row r="10" spans="1:7" ht="14.5" x14ac:dyDescent="0.35">
      <c r="A10" s="7" t="s">
        <v>11</v>
      </c>
      <c r="B10" s="12">
        <f>VLOOKUP(Task_2!A10,Dataset!A5:G44,7,0)</f>
        <v>9.4</v>
      </c>
      <c r="C10" s="12">
        <f>VLOOKUP(A10,Dataset!A6:X46,14,0)</f>
        <v>28.3</v>
      </c>
      <c r="D10" s="12">
        <f>VLOOKUP(A10,Dataset!A6:X44,18,0)</f>
        <v>16.100000000000001</v>
      </c>
      <c r="E10" s="12">
        <f>VLOOKUP(A10,Dataset!A5:X46,20,0)</f>
        <v>32.799999999999997</v>
      </c>
      <c r="F10" s="8">
        <f>VLOOKUP(A10,Dataset!A5:X44,22,0)</f>
        <v>16.100000000000001</v>
      </c>
    </row>
    <row r="11" spans="1:7" ht="14.5" x14ac:dyDescent="0.35">
      <c r="A11" s="7" t="s">
        <v>12</v>
      </c>
      <c r="B11" s="12">
        <f>VLOOKUP(Task_2!A11,Dataset!A6:G45,7,0)</f>
        <v>11.6</v>
      </c>
      <c r="C11" s="12">
        <f>VLOOKUP(A11,Dataset!A7:X47,14,0)</f>
        <v>35.200000000000003</v>
      </c>
      <c r="D11" s="12">
        <f>VLOOKUP(A11,Dataset!A7:X45,18,0)</f>
        <v>21.3</v>
      </c>
      <c r="E11" s="12">
        <f>VLOOKUP(A11,Dataset!A6:X47,20,0)</f>
        <v>43</v>
      </c>
      <c r="F11" s="8">
        <f>VLOOKUP(A11,Dataset!A6:X45,22,0)</f>
        <v>21.3</v>
      </c>
    </row>
    <row r="12" spans="1:7" ht="14.5" x14ac:dyDescent="0.35">
      <c r="A12" s="7" t="s">
        <v>14</v>
      </c>
      <c r="B12" s="12">
        <f>VLOOKUP(Task_2!A12,Dataset!A7:G46,7,0)</f>
        <v>18.399999999999999</v>
      </c>
      <c r="C12" s="12">
        <f>VLOOKUP(A12,Dataset!A8:X48,14,0)</f>
        <v>55.6</v>
      </c>
      <c r="D12" s="12">
        <f>VLOOKUP(A12,Dataset!A8:X46,18,0)</f>
        <v>33.799999999999997</v>
      </c>
      <c r="E12" s="12">
        <f>VLOOKUP(A12,Dataset!A7:X48,20,0)</f>
        <v>67.900000000000006</v>
      </c>
      <c r="F12" s="8">
        <f>VLOOKUP(A12,Dataset!A7:X46,22,0)</f>
        <v>33.799999999999997</v>
      </c>
    </row>
    <row r="13" spans="1:7" ht="14.5" x14ac:dyDescent="0.35">
      <c r="A13" s="7" t="s">
        <v>15</v>
      </c>
      <c r="B13" s="12">
        <f>VLOOKUP(Task_2!A13,Dataset!A8:G47,7,0)</f>
        <v>0</v>
      </c>
      <c r="C13" s="12">
        <f>VLOOKUP(A13,Dataset!A9:X49,14,0)</f>
        <v>0</v>
      </c>
      <c r="D13" s="12">
        <f>VLOOKUP(A13,Dataset!A9:X47,18,0)</f>
        <v>0</v>
      </c>
      <c r="E13" s="12">
        <f>VLOOKUP(A13,Dataset!A8:X49,20,0)</f>
        <v>0</v>
      </c>
      <c r="F13" s="8">
        <f>VLOOKUP(A13,Dataset!A8:X47,22,0)</f>
        <v>0</v>
      </c>
    </row>
    <row r="14" spans="1:7" ht="14.5" x14ac:dyDescent="0.35">
      <c r="A14" s="7" t="s">
        <v>16</v>
      </c>
      <c r="B14" s="12">
        <f>VLOOKUP(Task_2!A14,Dataset!A9:G48,7,0)</f>
        <v>21.9</v>
      </c>
      <c r="C14" s="12">
        <f>VLOOKUP(A14,Dataset!A10:X50,14,0)</f>
        <v>61.5</v>
      </c>
      <c r="D14" s="12">
        <f>VLOOKUP(A14,Dataset!A10:X48,18,0)</f>
        <v>40.1</v>
      </c>
      <c r="E14" s="12">
        <f>VLOOKUP(A14,Dataset!A9:X50,20,0)</f>
        <v>76.599999999999994</v>
      </c>
      <c r="F14" s="8">
        <f>VLOOKUP(A14,Dataset!A9:X48,22,0)</f>
        <v>40.1</v>
      </c>
    </row>
    <row r="15" spans="1:7" ht="14.5" x14ac:dyDescent="0.35">
      <c r="A15" s="7" t="s">
        <v>18</v>
      </c>
      <c r="B15" s="12">
        <f>VLOOKUP(Task_2!A15,Dataset!A10:G49,7,0)</f>
        <v>26.8</v>
      </c>
      <c r="C15" s="12">
        <f>VLOOKUP(A15,Dataset!A11:X51,14,0)</f>
        <v>79.599999999999994</v>
      </c>
      <c r="D15" s="12">
        <f>VLOOKUP(A15,Dataset!A11:X49,18,0)</f>
        <v>47.9</v>
      </c>
      <c r="E15" s="12">
        <f>VLOOKUP(A15,Dataset!A10:X51,20,0)</f>
        <v>96.8</v>
      </c>
      <c r="F15" s="8">
        <f>VLOOKUP(A15,Dataset!A10:X49,22,0)</f>
        <v>47.9</v>
      </c>
    </row>
    <row r="16" spans="1:7" ht="14.5" x14ac:dyDescent="0.35">
      <c r="A16" s="7" t="s">
        <v>20</v>
      </c>
      <c r="B16" s="12">
        <f>VLOOKUP(Task_2!A16,Dataset!A11:G50,7,0)</f>
        <v>28.5</v>
      </c>
      <c r="C16" s="12">
        <f>VLOOKUP(A16,Dataset!A12:X52,14,0)</f>
        <v>85.4</v>
      </c>
      <c r="D16" s="12">
        <f>VLOOKUP(A16,Dataset!A12:X50,18,0)</f>
        <v>52.3</v>
      </c>
      <c r="E16" s="12">
        <f>VLOOKUP(A16,Dataset!A11:X52,20,0)</f>
        <v>106.1</v>
      </c>
      <c r="F16" s="8">
        <f>VLOOKUP(A16,Dataset!A11:X50,22,0)</f>
        <v>52.3</v>
      </c>
    </row>
    <row r="17" spans="1:6" ht="14.5" x14ac:dyDescent="0.35">
      <c r="A17" s="7" t="s">
        <v>22</v>
      </c>
      <c r="B17" s="12">
        <f>VLOOKUP(Task_2!A17,Dataset!A12:G51,7,0)</f>
        <v>30.7</v>
      </c>
      <c r="C17" s="12">
        <f>VLOOKUP(A17,Dataset!A13:X53,14,0)</f>
        <v>92.1</v>
      </c>
      <c r="D17" s="12">
        <f>VLOOKUP(A17,Dataset!A13:X51,18,0)</f>
        <v>57</v>
      </c>
      <c r="E17" s="12">
        <f>VLOOKUP(A17,Dataset!A12:X53,20,0)</f>
        <v>115.1</v>
      </c>
      <c r="F17" s="8">
        <f>VLOOKUP(A17,Dataset!A12:X51,22,0)</f>
        <v>57</v>
      </c>
    </row>
    <row r="18" spans="1:6" ht="14.5" x14ac:dyDescent="0.35">
      <c r="A18" s="7" t="s">
        <v>23</v>
      </c>
      <c r="B18" s="12">
        <f>VLOOKUP(Task_2!A18,Dataset!A13:G52,7,0)</f>
        <v>33.799999999999997</v>
      </c>
      <c r="C18" s="12">
        <f>VLOOKUP(A18,Dataset!A14:X54,14,0)</f>
        <v>101.3</v>
      </c>
      <c r="D18" s="12">
        <f>VLOOKUP(A18,Dataset!A14:X52,18,0)</f>
        <v>61.4</v>
      </c>
      <c r="E18" s="12">
        <f>VLOOKUP(A18,Dataset!A13:X54,20,0)</f>
        <v>124.4</v>
      </c>
      <c r="F18" s="8">
        <f>VLOOKUP(A18,Dataset!A13:X52,22,0)</f>
        <v>61.4</v>
      </c>
    </row>
    <row r="19" spans="1:6" ht="14.5" x14ac:dyDescent="0.35">
      <c r="A19" s="7" t="s">
        <v>24</v>
      </c>
      <c r="B19" s="12">
        <f>VLOOKUP(Task_2!A19,Dataset!A14:G53,7,0)</f>
        <v>34.700000000000003</v>
      </c>
      <c r="C19" s="12">
        <f>VLOOKUP(A19,Dataset!A15:X55,14,0)</f>
        <v>106.1</v>
      </c>
      <c r="D19" s="12">
        <f>VLOOKUP(A19,Dataset!A15:X53,18,0)</f>
        <v>63.6</v>
      </c>
      <c r="E19" s="12">
        <f>VLOOKUP(A19,Dataset!A14:X55,20,0)</f>
        <v>128.6</v>
      </c>
      <c r="F19" s="8">
        <f>VLOOKUP(A19,Dataset!A14:X53,22,0)</f>
        <v>63.6</v>
      </c>
    </row>
    <row r="20" spans="1:6" ht="14.5" x14ac:dyDescent="0.35">
      <c r="A20" s="7" t="s">
        <v>28</v>
      </c>
      <c r="B20" s="12">
        <f>VLOOKUP(Task_2!A20,Dataset!A15:G54,7,0)</f>
        <v>0</v>
      </c>
      <c r="C20" s="12">
        <f>VLOOKUP(A20,Dataset!A16:X56,14,0)</f>
        <v>0</v>
      </c>
      <c r="D20" s="12">
        <f>VLOOKUP(A20,Dataset!A16:X54,18,0)</f>
        <v>0</v>
      </c>
      <c r="E20" s="12">
        <f>VLOOKUP(A20,Dataset!A15:X56,20,0)</f>
        <v>0</v>
      </c>
      <c r="F20" s="8">
        <f>VLOOKUP(A20,Dataset!A15:X54,22,0)</f>
        <v>0</v>
      </c>
    </row>
    <row r="21" spans="1:6" ht="14.5" x14ac:dyDescent="0.35">
      <c r="A21" s="7" t="s">
        <v>57</v>
      </c>
      <c r="B21" s="12">
        <f>VLOOKUP(Task_2!A21,Dataset!A16:G55,7,0)</f>
        <v>41.3</v>
      </c>
      <c r="C21" s="12">
        <f>VLOOKUP(A21,Dataset!A17:X57,14,0)</f>
        <v>124.4</v>
      </c>
      <c r="D21" s="12">
        <f>VLOOKUP(A21,Dataset!A17:X55,18,0)</f>
        <v>75</v>
      </c>
      <c r="E21" s="12">
        <f>VLOOKUP(A21,Dataset!A16:X57,20,0)</f>
        <v>151.5</v>
      </c>
      <c r="F21" s="8">
        <f>VLOOKUP(A21,Dataset!A16:X55,22,0)</f>
        <v>75</v>
      </c>
    </row>
    <row r="22" spans="1:6" ht="14.5" x14ac:dyDescent="0.35">
      <c r="A22" s="7" t="s">
        <v>58</v>
      </c>
      <c r="B22" s="12">
        <f>VLOOKUP(Task_2!A22,Dataset!A17:G56,7,0)</f>
        <v>-1</v>
      </c>
      <c r="C22" s="12">
        <f>VLOOKUP(A22,Dataset!A18:X58,14,0)</f>
        <v>-1</v>
      </c>
      <c r="D22" s="12">
        <f>VLOOKUP(A22,Dataset!A18:X56,18,0)</f>
        <v>-1</v>
      </c>
      <c r="E22" s="12">
        <f>VLOOKUP(A22,Dataset!A17:X58,20,0)</f>
        <v>-1</v>
      </c>
      <c r="F22" s="8">
        <f>VLOOKUP(A22,Dataset!A17:X56,22,0)</f>
        <v>-1</v>
      </c>
    </row>
    <row r="23" spans="1:6" ht="14.5" x14ac:dyDescent="0.35">
      <c r="A23" s="7" t="s">
        <v>31</v>
      </c>
      <c r="B23" s="12">
        <f>VLOOKUP(Task_2!A23,Dataset!A18:G57,7,0)</f>
        <v>45</v>
      </c>
      <c r="C23" s="12">
        <f>VLOOKUP(A23,Dataset!A19:X59,14,0)</f>
        <v>133.4</v>
      </c>
      <c r="D23" s="12">
        <f>VLOOKUP(A23,Dataset!A19:X57,18,0)</f>
        <v>79.400000000000006</v>
      </c>
      <c r="E23" s="12">
        <f>VLOOKUP(A23,Dataset!A18:X59,20,0)</f>
        <v>160.9</v>
      </c>
      <c r="F23" s="8">
        <f>VLOOKUP(A23,Dataset!A18:X57,22,0)</f>
        <v>79.400000000000006</v>
      </c>
    </row>
    <row r="24" spans="1:6" ht="14.5" x14ac:dyDescent="0.35">
      <c r="A24" s="7" t="s">
        <v>32</v>
      </c>
      <c r="B24" s="12">
        <f>VLOOKUP(Task_2!A24,Dataset!A19:G58,7,0)</f>
        <v>-1</v>
      </c>
      <c r="C24" s="12">
        <f>VLOOKUP(A24,Dataset!A20:X60,14,0)</f>
        <v>-1</v>
      </c>
      <c r="D24" s="12">
        <f>VLOOKUP(A24,Dataset!A20:X58,18,0)</f>
        <v>-1</v>
      </c>
      <c r="E24" s="12">
        <f>VLOOKUP(A24,Dataset!A19:X60,20,0)</f>
        <v>-1</v>
      </c>
      <c r="F24" s="8">
        <f>VLOOKUP(A24,Dataset!A19:X58,22,0)</f>
        <v>-1</v>
      </c>
    </row>
    <row r="25" spans="1:6" ht="14.5" x14ac:dyDescent="0.35">
      <c r="A25" s="7" t="s">
        <v>34</v>
      </c>
      <c r="B25" s="12">
        <f>VLOOKUP(Task_2!A25,Dataset!A20:G59,7,0)</f>
        <v>43.3</v>
      </c>
      <c r="C25" s="12">
        <f>VLOOKUP(A25,Dataset!A21:X61,14,0)</f>
        <v>128.6</v>
      </c>
      <c r="D25" s="12">
        <f>VLOOKUP(A25,Dataset!A21:X59,18,0)</f>
        <v>79.400000000000006</v>
      </c>
      <c r="E25" s="12">
        <f>VLOOKUP(A25,Dataset!A20:X61,20,0)</f>
        <v>160.9</v>
      </c>
      <c r="F25" s="8">
        <f>VLOOKUP(A25,Dataset!A20:X59,22,0)</f>
        <v>79.400000000000006</v>
      </c>
    </row>
    <row r="26" spans="1:6" ht="14.5" x14ac:dyDescent="0.35">
      <c r="A26" s="7" t="s">
        <v>37</v>
      </c>
      <c r="B26" s="12">
        <f>VLOOKUP(Task_2!A26,Dataset!A21:G60,7,0)</f>
        <v>49.1</v>
      </c>
      <c r="C26" s="12">
        <f>VLOOKUP(A26,Dataset!A22:X62,14,0)</f>
        <v>146.80000000000001</v>
      </c>
      <c r="D26" s="12">
        <f>VLOOKUP(A26,Dataset!A22:X60,18,0)</f>
        <v>90.9</v>
      </c>
      <c r="E26" s="12">
        <f>VLOOKUP(A26,Dataset!A21:X62,20,0)</f>
        <v>183.5</v>
      </c>
      <c r="F26" s="8">
        <f>VLOOKUP(A26,Dataset!A21:X60,22,0)</f>
        <v>90.9</v>
      </c>
    </row>
    <row r="27" spans="1:6" ht="14.5" x14ac:dyDescent="0.35">
      <c r="A27" s="7" t="s">
        <v>39</v>
      </c>
      <c r="B27" s="12">
        <f>VLOOKUP(Task_2!A27,Dataset!A22:G61,7,0)</f>
        <v>51.8</v>
      </c>
      <c r="C27" s="12">
        <f>VLOOKUP(A27,Dataset!A23:X63,14,0)</f>
        <v>156.4</v>
      </c>
      <c r="D27" s="12">
        <f>VLOOKUP(A27,Dataset!A23:X61,18,0)</f>
        <v>93.1</v>
      </c>
      <c r="E27" s="12">
        <f>VLOOKUP(A27,Dataset!A22:X63,20,0)</f>
        <v>188.1</v>
      </c>
      <c r="F27" s="8">
        <f>VLOOKUP(A27,Dataset!A22:X61,22,0)</f>
        <v>93.1</v>
      </c>
    </row>
    <row r="28" spans="1:6" ht="14.5" x14ac:dyDescent="0.35">
      <c r="A28" s="19" t="s">
        <v>82</v>
      </c>
      <c r="B28" s="12">
        <f>MIN(B6:B27)</f>
        <v>-1</v>
      </c>
      <c r="C28" s="12">
        <f>MIN(C6:C27)</f>
        <v>-1</v>
      </c>
      <c r="D28" s="12">
        <f>MIN(D6:D27)</f>
        <v>-1</v>
      </c>
      <c r="E28" s="12">
        <f>MIN(E6:E27)</f>
        <v>-1</v>
      </c>
      <c r="F28" s="12">
        <f>MIN(F6:F27)</f>
        <v>-1</v>
      </c>
    </row>
    <row r="29" spans="1:6" ht="14.5" x14ac:dyDescent="0.35">
      <c r="A29" s="19" t="s">
        <v>83</v>
      </c>
      <c r="B29" s="12">
        <f>MAX(B6:B27)</f>
        <v>51.8</v>
      </c>
      <c r="C29" s="12">
        <f>MAX(C6:C27)</f>
        <v>156.4</v>
      </c>
      <c r="D29" s="12">
        <f>MAX(D6:D27)</f>
        <v>93.1</v>
      </c>
      <c r="E29" s="12">
        <f>MAX(E6:E27)</f>
        <v>188.1</v>
      </c>
      <c r="F29" s="12">
        <f>MAX(F6:F27)</f>
        <v>93.1</v>
      </c>
    </row>
    <row r="30" spans="1:6" ht="14.5" x14ac:dyDescent="0.35">
      <c r="A30" s="19" t="s">
        <v>84</v>
      </c>
      <c r="B30" s="12">
        <f>AVERAGE(B6:B27)</f>
        <v>20.827272727272728</v>
      </c>
      <c r="C30" s="12">
        <f>AVERAGE(C6:C27)</f>
        <v>62.377272727272725</v>
      </c>
      <c r="D30" s="12">
        <f>AVERAGE(D6:D27)</f>
        <v>37.800000000000004</v>
      </c>
      <c r="E30" s="12">
        <f>AVERAGE(E6:E27)</f>
        <v>76.418181818181822</v>
      </c>
      <c r="F30" s="12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3" zoomScaleNormal="100" workbookViewId="0">
      <selection activeCell="B6" sqref="B6"/>
    </sheetView>
  </sheetViews>
  <sheetFormatPr defaultColWidth="11" defaultRowHeight="14.5" x14ac:dyDescent="0.35"/>
  <cols>
    <col min="1" max="1" width="39.796875" style="1" bestFit="1" customWidth="1"/>
    <col min="2" max="2" width="15.5" style="1" customWidth="1"/>
    <col min="3" max="16384" width="11" style="1"/>
  </cols>
  <sheetData>
    <row r="1" spans="1:10" s="40" customFormat="1" ht="21" x14ac:dyDescent="0.5">
      <c r="A1" s="41" t="s">
        <v>56</v>
      </c>
      <c r="B1" s="40" t="s">
        <v>175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152</v>
      </c>
    </row>
    <row r="5" spans="1:10" ht="18.5" x14ac:dyDescent="0.45">
      <c r="A5" s="42" t="s">
        <v>53</v>
      </c>
      <c r="B5" s="1" t="s">
        <v>178</v>
      </c>
    </row>
    <row r="6" spans="1:10" ht="18.5" x14ac:dyDescent="0.45">
      <c r="A6" s="42" t="s">
        <v>154</v>
      </c>
      <c r="B6" s="39" t="s">
        <v>179</v>
      </c>
    </row>
    <row r="7" spans="1:10" ht="18.5" x14ac:dyDescent="0.45">
      <c r="A7" s="42"/>
      <c r="B7" s="39"/>
    </row>
    <row r="9" spans="1:10" ht="23.5" x14ac:dyDescent="0.55000000000000004">
      <c r="A9" s="18" t="s">
        <v>166</v>
      </c>
      <c r="I9" s="2"/>
      <c r="J9" s="2"/>
    </row>
    <row r="10" spans="1:10" x14ac:dyDescent="0.35">
      <c r="A10" s="32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5">
      <c r="A11" s="9" t="s">
        <v>122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8" t="s">
        <v>163</v>
      </c>
    </row>
    <row r="15" spans="1:10" x14ac:dyDescent="0.3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5">
      <c r="A16" s="7" t="s">
        <v>122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5">
      <c r="A17" s="7" t="s">
        <v>123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5">
      <c r="A18" s="7" t="s">
        <v>124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5">
      <c r="A19" s="7" t="s">
        <v>125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5">
      <c r="A20" s="7" t="s">
        <v>126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5">
      <c r="A21" s="7" t="s">
        <v>127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5">
      <c r="A22" s="7" t="s">
        <v>128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5">
      <c r="A23" s="7" t="s">
        <v>129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5">
      <c r="A24" s="7" t="s">
        <v>130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5">
      <c r="A25" s="7" t="s">
        <v>131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5">
      <c r="A26" s="7" t="s">
        <v>132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5">
      <c r="A27" s="7" t="s">
        <v>133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5">
      <c r="A28" s="7" t="s">
        <v>134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5">
      <c r="A29" s="7" t="s">
        <v>135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5">
      <c r="A30" s="7" t="s">
        <v>136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5">
      <c r="A31" s="7" t="s">
        <v>137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5">
      <c r="A32" s="7" t="s">
        <v>138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5">
      <c r="A33" s="7" t="s">
        <v>139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5">
      <c r="A34" s="7" t="s">
        <v>140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5">
      <c r="A35" s="7" t="s">
        <v>141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5">
      <c r="A36" s="7" t="s">
        <v>142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5">
      <c r="A37" s="7" t="s">
        <v>143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5">
      <c r="A38" s="7" t="s">
        <v>144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5">
      <c r="A39" s="7" t="s">
        <v>145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5">
      <c r="A40" s="7" t="s">
        <v>146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5">
      <c r="A41" s="7" t="s">
        <v>147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5">
      <c r="A42" s="7" t="s">
        <v>148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5">
      <c r="A43" s="7" t="s">
        <v>149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5">
      <c r="A44" s="7" t="s">
        <v>150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5">
      <c r="A45" s="7" t="s">
        <v>151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5">
      <c r="A46" s="7" t="s">
        <v>113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5">
      <c r="A47" s="7" t="s">
        <v>114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5">
      <c r="A48" s="7" t="s">
        <v>115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5">
      <c r="A49" s="7" t="s">
        <v>116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5">
      <c r="A50" s="7" t="s">
        <v>117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5">
      <c r="A51" s="7" t="s">
        <v>118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5">
      <c r="A52" s="7" t="s">
        <v>119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5">
      <c r="A53" s="7" t="s">
        <v>120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5">
      <c r="A54" s="9" t="s">
        <v>121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5" zoomScaleNormal="100" workbookViewId="0">
      <selection activeCell="C22" sqref="C22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1" t="s">
        <v>85</v>
      </c>
      <c r="B1" s="40" t="s">
        <v>168</v>
      </c>
    </row>
    <row r="2" spans="1:3" ht="18.5" x14ac:dyDescent="0.45">
      <c r="B2" s="39" t="s">
        <v>167</v>
      </c>
    </row>
    <row r="5" spans="1:3" ht="14.5" x14ac:dyDescent="0.35">
      <c r="B5" s="1" t="s">
        <v>152</v>
      </c>
    </row>
    <row r="6" spans="1:3" ht="14.5" x14ac:dyDescent="0.35">
      <c r="A6" s="3" t="s">
        <v>53</v>
      </c>
      <c r="B6" s="1"/>
    </row>
    <row r="7" spans="1:3" ht="14.5" x14ac:dyDescent="0.35">
      <c r="A7" s="3" t="s">
        <v>154</v>
      </c>
      <c r="B7" s="1"/>
    </row>
    <row r="10" spans="1:3" ht="23.5" x14ac:dyDescent="0.55000000000000004">
      <c r="A10" s="18" t="s">
        <v>163</v>
      </c>
    </row>
    <row r="11" spans="1:3" ht="14.5" x14ac:dyDescent="0.35">
      <c r="A11" s="31" t="s">
        <v>86</v>
      </c>
      <c r="B11" s="17" t="s">
        <v>87</v>
      </c>
      <c r="C11" s="17" t="s">
        <v>88</v>
      </c>
    </row>
    <row r="12" spans="1:3" ht="14.5" x14ac:dyDescent="0.35">
      <c r="A12" s="31">
        <v>44927</v>
      </c>
      <c r="B12" s="17" t="s">
        <v>59</v>
      </c>
      <c r="C12" s="17">
        <v>200</v>
      </c>
    </row>
    <row r="13" spans="1:3" ht="14.5" x14ac:dyDescent="0.35">
      <c r="A13" s="31">
        <v>44928</v>
      </c>
      <c r="B13" s="17" t="s">
        <v>60</v>
      </c>
      <c r="C13" s="17">
        <v>20</v>
      </c>
    </row>
    <row r="14" spans="1:3" ht="14.5" x14ac:dyDescent="0.35">
      <c r="A14" s="31">
        <v>44929</v>
      </c>
      <c r="B14" s="17" t="s">
        <v>61</v>
      </c>
      <c r="C14" s="17">
        <v>50</v>
      </c>
    </row>
    <row r="15" spans="1:3" ht="14.5" x14ac:dyDescent="0.35">
      <c r="A15" s="31">
        <v>44930</v>
      </c>
      <c r="B15" s="17" t="s">
        <v>62</v>
      </c>
      <c r="C15" s="17">
        <v>20</v>
      </c>
    </row>
    <row r="16" spans="1:3" ht="14.5" x14ac:dyDescent="0.35">
      <c r="A16" s="31">
        <v>44931</v>
      </c>
      <c r="B16" s="17" t="s">
        <v>63</v>
      </c>
      <c r="C16" s="17">
        <v>10</v>
      </c>
    </row>
    <row r="17" spans="1:3" ht="14.5" x14ac:dyDescent="0.35">
      <c r="A17" s="31">
        <v>44932</v>
      </c>
      <c r="B17" s="17" t="s">
        <v>155</v>
      </c>
      <c r="C17" s="17">
        <v>150</v>
      </c>
    </row>
    <row r="18" spans="1:3" ht="14.5" x14ac:dyDescent="0.35">
      <c r="A18" s="31">
        <v>44933</v>
      </c>
      <c r="B18" s="17" t="s">
        <v>156</v>
      </c>
      <c r="C18" s="17">
        <v>80</v>
      </c>
    </row>
    <row r="19" spans="1:3" ht="14.5" x14ac:dyDescent="0.35">
      <c r="A19" s="31">
        <v>44934</v>
      </c>
      <c r="B19" s="17" t="s">
        <v>157</v>
      </c>
      <c r="C19" s="17">
        <v>20</v>
      </c>
    </row>
    <row r="20" spans="1:3" ht="14.5" x14ac:dyDescent="0.35">
      <c r="A20" s="31">
        <v>44935</v>
      </c>
      <c r="B20" s="17" t="s">
        <v>158</v>
      </c>
      <c r="C20" s="17">
        <v>30</v>
      </c>
    </row>
    <row r="21" spans="1:3" ht="14.5" x14ac:dyDescent="0.35">
      <c r="A21" s="31">
        <v>44936</v>
      </c>
      <c r="B21" s="17" t="s">
        <v>159</v>
      </c>
      <c r="C21" s="17">
        <v>20</v>
      </c>
    </row>
    <row r="22" spans="1:3" ht="14.5" x14ac:dyDescent="0.35">
      <c r="B22" s="17" t="s">
        <v>160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7" zoomScaleNormal="100" workbookViewId="0">
      <selection activeCell="H24" sqref="H24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98</v>
      </c>
      <c r="B1" s="40" t="s">
        <v>176</v>
      </c>
    </row>
    <row r="3" spans="1:14" ht="14.5" x14ac:dyDescent="0.35">
      <c r="B3" s="1" t="s">
        <v>152</v>
      </c>
    </row>
    <row r="4" spans="1:14" ht="18.5" x14ac:dyDescent="0.45">
      <c r="A4" s="42" t="s">
        <v>53</v>
      </c>
      <c r="B4" s="1"/>
    </row>
    <row r="5" spans="1:14" ht="18.5" x14ac:dyDescent="0.45">
      <c r="A5" s="42" t="s">
        <v>154</v>
      </c>
      <c r="B5" s="1"/>
    </row>
    <row r="6" spans="1:14" ht="14.5" x14ac:dyDescent="0.35">
      <c r="A6" s="3"/>
      <c r="B6" s="1"/>
    </row>
    <row r="8" spans="1:14" ht="23.5" x14ac:dyDescent="0.55000000000000004">
      <c r="A8" s="18" t="s">
        <v>163</v>
      </c>
      <c r="M8" s="18" t="s">
        <v>164</v>
      </c>
    </row>
    <row r="9" spans="1:14" ht="14.5" x14ac:dyDescent="0.3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5" x14ac:dyDescent="0.3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5" x14ac:dyDescent="0.3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5" x14ac:dyDescent="0.3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5" x14ac:dyDescent="0.3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5" x14ac:dyDescent="0.3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5" x14ac:dyDescent="0.3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5" x14ac:dyDescent="0.3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5" x14ac:dyDescent="0.3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5" x14ac:dyDescent="0.3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5" x14ac:dyDescent="0.55000000000000004">
      <c r="A21" s="18" t="s">
        <v>169</v>
      </c>
    </row>
    <row r="22" spans="1:14" ht="14.5" x14ac:dyDescent="0.35">
      <c r="A22" s="14" t="s">
        <v>100</v>
      </c>
      <c r="B22" s="17" t="s">
        <v>101</v>
      </c>
      <c r="C22" s="16" t="s">
        <v>102</v>
      </c>
    </row>
    <row r="23" spans="1:14" ht="14.5" x14ac:dyDescent="0.35">
      <c r="A23" s="7">
        <v>10100</v>
      </c>
      <c r="B23" s="12">
        <v>10102</v>
      </c>
      <c r="C23" s="43" t="e">
        <f>INDEX(A9:J18,MATCH(VLOOKUP(A23,M9:N18,2,FALSE),M9:N18,0),MATCH(B23,M9:N18,0))</f>
        <v>#N/A</v>
      </c>
    </row>
    <row r="24" spans="1:14" ht="14.5" x14ac:dyDescent="0.35">
      <c r="A24" s="7">
        <v>10100</v>
      </c>
      <c r="B24" s="12">
        <v>10104</v>
      </c>
      <c r="C24" s="43" t="str">
        <f>IFERROR(INDEX(A9:J18, MATCH(VLOOKUP(A23, M9:N18, 2, 0), A9:J18, 0), MATCH(B23, A9:J18, 0)), "ID not found")</f>
        <v>ID not found</v>
      </c>
    </row>
    <row r="25" spans="1:14" ht="14.5" x14ac:dyDescent="0.35">
      <c r="A25" s="7">
        <v>10108</v>
      </c>
      <c r="B25" s="12">
        <v>10102</v>
      </c>
      <c r="C25" s="43"/>
    </row>
    <row r="26" spans="1:14" ht="14.5" x14ac:dyDescent="0.35">
      <c r="A26" s="7">
        <v>10100</v>
      </c>
      <c r="B26" s="12">
        <v>10106</v>
      </c>
      <c r="C26" s="43"/>
    </row>
    <row r="27" spans="1:14" ht="14.5" x14ac:dyDescent="0.35">
      <c r="A27" s="7">
        <v>10108</v>
      </c>
      <c r="B27" s="12">
        <v>10110</v>
      </c>
      <c r="C27" s="43"/>
    </row>
    <row r="28" spans="1:14" ht="14.5" x14ac:dyDescent="0.35">
      <c r="A28" s="7">
        <v>10102</v>
      </c>
      <c r="B28" s="12">
        <v>10104</v>
      </c>
      <c r="C28" s="43"/>
    </row>
    <row r="29" spans="1:14" ht="14.5" x14ac:dyDescent="0.35">
      <c r="A29" s="7">
        <v>10106</v>
      </c>
      <c r="B29" s="12">
        <v>10108</v>
      </c>
      <c r="C29" s="43"/>
    </row>
    <row r="30" spans="1:14" ht="14.5" x14ac:dyDescent="0.35">
      <c r="A30" s="7">
        <v>10102</v>
      </c>
      <c r="B30" s="12">
        <v>10106</v>
      </c>
      <c r="C30" s="43"/>
    </row>
    <row r="31" spans="1:14" ht="14.5" x14ac:dyDescent="0.35">
      <c r="A31" s="7">
        <v>10110</v>
      </c>
      <c r="B31" s="12">
        <v>10114</v>
      </c>
      <c r="C31" s="43"/>
    </row>
    <row r="32" spans="1:14" ht="14.5" x14ac:dyDescent="0.35">
      <c r="A32" s="7">
        <v>10104</v>
      </c>
      <c r="B32" s="12">
        <v>10106</v>
      </c>
      <c r="C32" s="43"/>
    </row>
    <row r="33" spans="1:3" ht="14.5" x14ac:dyDescent="0.35">
      <c r="A33" s="7">
        <v>10110</v>
      </c>
      <c r="B33" s="12">
        <v>10112</v>
      </c>
      <c r="C33" s="43"/>
    </row>
    <row r="34" spans="1:3" ht="14.5" x14ac:dyDescent="0.35">
      <c r="A34" s="7">
        <v>10100</v>
      </c>
      <c r="B34" s="12">
        <v>10114</v>
      </c>
      <c r="C34" s="43"/>
    </row>
    <row r="35" spans="1:3" ht="14.5" x14ac:dyDescent="0.35">
      <c r="A35" s="9">
        <v>10112</v>
      </c>
      <c r="B35" s="13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Instructions</vt:lpstr>
      <vt:lpstr>Dataset</vt:lpstr>
      <vt:lpstr>Task_1</vt:lpstr>
      <vt:lpstr>Task_2</vt:lpstr>
      <vt:lpstr>Task_3</vt:lpstr>
      <vt:lpstr>Task_4</vt:lpstr>
      <vt:lpstr>Task_5</vt:lpstr>
      <vt:lpstr>Task_5!Criteria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VAIBHAV PATIL</cp:lastModifiedBy>
  <dcterms:created xsi:type="dcterms:W3CDTF">2015-02-10T17:33:11Z</dcterms:created>
  <dcterms:modified xsi:type="dcterms:W3CDTF">2023-12-10T17:45:00Z</dcterms:modified>
</cp:coreProperties>
</file>